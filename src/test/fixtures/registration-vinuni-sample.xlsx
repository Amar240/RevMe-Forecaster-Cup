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gistration Form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<sst xmlns="http://schemas.openxmlformats.org/spreadsheetml/2006/main" uniqueCount="81">
  <si>
    <t>Your University</t>
  </si>
  <si>
    <t>VinUniversity</t>
  </si>
  <si>
    <t>Instructor's Name</t>
  </si>
  <si>
    <t>Eric Olson</t>
  </si>
  <si>
    <t>instructor's Email</t>
  </si>
  <si>
    <t>eolson23@msudenver.edu</t>
  </si>
  <si>
    <t xml:space="preserve"> Number of teams (no more than 10)</t>
  </si>
  <si>
    <t>Team's selected name (optional)</t>
  </si>
  <si>
    <t>Corresponding Team Member (student who will submit the forecast every week)</t>
  </si>
  <si>
    <t>Additional Team Members</t>
  </si>
  <si>
    <t>Institution</t>
  </si>
  <si>
    <t>TeamID</t>
  </si>
  <si>
    <t>First Name</t>
  </si>
  <si>
    <t>Last Name</t>
  </si>
  <si>
    <t>Email</t>
  </si>
  <si>
    <r>
      <rPr>
        <sz val="11"/>
        <color indexed="8"/>
        <rFont val="Aptos Narrow"/>
      </rPr>
      <t>VinUniversity</t>
    </r>
    <r>
      <rPr>
        <sz val="11"/>
        <color indexed="8"/>
        <rFont val="Aptos Narrow"/>
      </rPr>
      <t>1</t>
    </r>
  </si>
  <si>
    <t>Linh Chi</t>
  </si>
  <si>
    <t>Tran</t>
  </si>
  <si>
    <t>23chi.tl@vinuni.edu.vn</t>
  </si>
  <si>
    <t>Dieu Trang</t>
  </si>
  <si>
    <t>Vu</t>
  </si>
  <si>
    <t>22trang.vd@vinuni.edu.vn</t>
  </si>
  <si>
    <t>Le Hoang</t>
  </si>
  <si>
    <t>Dang</t>
  </si>
  <si>
    <t>25hoang.dl@vinuni.edu.vn</t>
  </si>
  <si>
    <t>Binh Minh</t>
  </si>
  <si>
    <t>Hoang</t>
  </si>
  <si>
    <t>22minh.hb@vinuni.edu.vn</t>
  </si>
  <si>
    <r>
      <rPr>
        <sz val="11"/>
        <color indexed="8"/>
        <rFont val="Aptos Narrow"/>
      </rPr>
      <t>VinUniversity</t>
    </r>
    <r>
      <rPr>
        <sz val="11"/>
        <color indexed="8"/>
        <rFont val="Aptos Narrow"/>
      </rPr>
      <t>2</t>
    </r>
  </si>
  <si>
    <t>Xuan Truong</t>
  </si>
  <si>
    <t>24truong.tx@vinuni.edu.vn</t>
  </si>
  <si>
    <t>Ngoc Quynh Chi</t>
  </si>
  <si>
    <t>Nguyen</t>
  </si>
  <si>
    <t>24chi.nnq@vinuni.edu.vn</t>
  </si>
  <si>
    <t>Carla Sarah Maurgaux</t>
  </si>
  <si>
    <t>Keller</t>
  </si>
  <si>
    <t>ex25carla.ksm@vinuni.edu.vn</t>
  </si>
  <si>
    <t>Ngoc Nhi</t>
  </si>
  <si>
    <t>23nhi.tn@vinuni.edu.vn</t>
  </si>
  <si>
    <t>Khanh Chi</t>
  </si>
  <si>
    <t>Bui</t>
  </si>
  <si>
    <t>23chi.bk@vinuni.edu.vn</t>
  </si>
  <si>
    <r>
      <rPr>
        <sz val="11"/>
        <color indexed="8"/>
        <rFont val="Aptos Narrow"/>
      </rPr>
      <t>VinUniversity</t>
    </r>
    <r>
      <rPr>
        <sz val="11"/>
        <color indexed="8"/>
        <rFont val="Aptos Narrow"/>
      </rPr>
      <t>3</t>
    </r>
  </si>
  <si>
    <t xml:space="preserve">Canh Thuan </t>
  </si>
  <si>
    <t>Thai</t>
  </si>
  <si>
    <t xml:space="preserve">	23thuan.tc@vinuni.edu.vn</t>
  </si>
  <si>
    <t>Truong Anh Duong</t>
  </si>
  <si>
    <t>23duong.nta@vinuni.edu.vn</t>
  </si>
  <si>
    <t>Van TruongqCao</t>
  </si>
  <si>
    <t>22truong.cv@vinuni.edu.vn</t>
  </si>
  <si>
    <t>Ngoc Ha</t>
  </si>
  <si>
    <t>23ha.tn@vinuni.edu.vn</t>
  </si>
  <si>
    <r>
      <rPr>
        <sz val="11"/>
        <color indexed="8"/>
        <rFont val="Aptos Narrow"/>
      </rPr>
      <t>VinUniversity</t>
    </r>
    <r>
      <rPr>
        <sz val="11"/>
        <color indexed="8"/>
        <rFont val="Aptos Narrow"/>
      </rPr>
      <t>4</t>
    </r>
  </si>
  <si>
    <t>Trung Kien</t>
  </si>
  <si>
    <t>23kien.vt@vinuni.edu.vn</t>
  </si>
  <si>
    <t>Gia Minh</t>
  </si>
  <si>
    <t>Pham</t>
  </si>
  <si>
    <t>23minh.pg@vinuni.edu.vn</t>
  </si>
  <si>
    <t>Ho Khanh Linh</t>
  </si>
  <si>
    <t>Dinh</t>
  </si>
  <si>
    <t>23linh.dhk@vinuni.edu.vn</t>
  </si>
  <si>
    <t>22chi.nk@vinuni.edu.vn</t>
  </si>
  <si>
    <r>
      <rPr>
        <sz val="11"/>
        <color indexed="8"/>
        <rFont val="Aptos Narrow"/>
      </rPr>
      <t>VinUniversity</t>
    </r>
    <r>
      <rPr>
        <sz val="11"/>
        <color indexed="8"/>
        <rFont val="Aptos Narrow"/>
      </rPr>
      <t>5</t>
    </r>
  </si>
  <si>
    <t>Duc Bao Duy</t>
  </si>
  <si>
    <t>24duy.hdb@vinuni.edu.vn</t>
  </si>
  <si>
    <t>Thanh Dat</t>
  </si>
  <si>
    <t>24dat.nt@vinuni.edu.vn</t>
  </si>
  <si>
    <t>Doan Khanh Linh</t>
  </si>
  <si>
    <t>Trinh</t>
  </si>
  <si>
    <t>24linh.tdk@vinuni.edu.vn</t>
  </si>
  <si>
    <t>Hoang Jessica</t>
  </si>
  <si>
    <t>24jessica.nh@vinuni.edu.vn</t>
  </si>
  <si>
    <r>
      <rPr>
        <sz val="11"/>
        <color indexed="8"/>
        <rFont val="Aptos Narrow"/>
      </rPr>
      <t>VinUniversity</t>
    </r>
    <r>
      <rPr>
        <sz val="11"/>
        <color indexed="8"/>
        <rFont val="Aptos Narrow"/>
      </rPr>
      <t>6</t>
    </r>
  </si>
  <si>
    <t>Anh Vu</t>
  </si>
  <si>
    <t>Au</t>
  </si>
  <si>
    <t>24vu.aa@vinuni.edu.vn</t>
  </si>
  <si>
    <t>Van Anh</t>
  </si>
  <si>
    <t>25anh.nv@vinuni.edu.vn</t>
  </si>
  <si>
    <t>Ngoc Anh</t>
  </si>
  <si>
    <t>24anh.vn2@vinuni.edu.vn</t>
  </si>
  <si>
    <t>24minh.tb@vinuni.edu.vn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</si>
</sst>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12"/>
      <name val="Aptos Narrow"/>
    </font>
    <font>
      <b val="1"/>
      <sz val="11"/>
      <color indexed="8"/>
      <name val="Aptos Narrow"/>
    </font>
    <font>
      <b val="1"/>
      <outline val="1"/>
      <shadow val="1"/>
      <sz val="40"/>
      <color indexed="16"/>
      <name val="Aptos Narrow"/>
    </font>
    <font>
      <b val="1"/>
      <outline val="1"/>
      <shadow val="1"/>
      <sz val="18"/>
      <color indexed="16"/>
      <name val="Aptos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36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 style="medium">
        <color indexed="8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9"/>
      </left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9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indexed="8"/>
      </right>
      <top/>
      <bottom style="thin">
        <color indexed="9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0" fillId="3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horizontal="center" vertical="center"/>
    </xf>
    <xf numFmtId="0" fontId="3" borderId="8" applyNumberFormat="0" applyFont="1" applyFill="0" applyBorder="1" applyAlignment="1" applyProtection="0">
      <alignment horizontal="left" vertical="bottom"/>
    </xf>
    <xf numFmtId="0" fontId="3" borderId="9" applyNumberFormat="0" applyFont="1" applyFill="0" applyBorder="1" applyAlignment="1" applyProtection="0">
      <alignment horizontal="left" vertical="bottom"/>
    </xf>
    <xf numFmtId="0" fontId="0" borderId="9" applyNumberFormat="0" applyFont="1" applyFill="0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49" fontId="0" fillId="3" borderId="11" applyNumberFormat="1" applyFont="1" applyFill="1" applyBorder="1" applyAlignment="1" applyProtection="0">
      <alignment vertical="bottom"/>
    </xf>
    <xf numFmtId="49" fontId="0" fillId="2" borderId="12" applyNumberFormat="1" applyFont="1" applyFill="1" applyBorder="1" applyAlignment="1" applyProtection="0">
      <alignment horizontal="center" vertical="center"/>
    </xf>
    <xf numFmtId="0" fontId="0" borderId="8" applyNumberFormat="0" applyFont="1" applyFill="0" applyBorder="1" applyAlignment="1" applyProtection="0">
      <alignment vertical="bottom"/>
    </xf>
    <xf numFmtId="49" fontId="0" fillId="3" borderId="13" applyNumberFormat="1" applyFont="1" applyFill="1" applyBorder="1" applyAlignment="1" applyProtection="0">
      <alignment vertical="bottom"/>
    </xf>
    <xf numFmtId="0" fontId="0" fillId="2" borderId="14" applyNumberFormat="1" applyFont="1" applyFill="1" applyBorder="1" applyAlignment="1" applyProtection="0">
      <alignment horizontal="center" vertical="center"/>
    </xf>
    <xf numFmtId="0" fontId="3" borderId="8" applyNumberFormat="0" applyFont="1" applyFill="0" applyBorder="1" applyAlignment="1" applyProtection="0">
      <alignment horizontal="center" vertical="bottom"/>
    </xf>
    <xf numFmtId="0" fontId="3" borderId="9" applyNumberFormat="0" applyFont="1" applyFill="0" applyBorder="1" applyAlignment="1" applyProtection="0">
      <alignment horizontal="center" vertical="bottom"/>
    </xf>
    <xf numFmtId="0" fontId="0" borderId="15" applyNumberFormat="0" applyFont="1" applyFill="0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horizontal="center" vertical="center"/>
    </xf>
    <xf numFmtId="0" fontId="3" borderId="17" applyNumberFormat="0" applyFont="1" applyFill="0" applyBorder="1" applyAlignment="1" applyProtection="0">
      <alignment horizontal="center" vertical="bottom"/>
    </xf>
    <xf numFmtId="0" fontId="0" borderId="17" applyNumberFormat="0" applyFont="1" applyFill="0" applyBorder="1" applyAlignment="1" applyProtection="0">
      <alignment vertical="bottom"/>
    </xf>
    <xf numFmtId="0" fontId="0" borderId="18" applyNumberFormat="0" applyFont="1" applyFill="0" applyBorder="1" applyAlignment="1" applyProtection="0">
      <alignment vertical="bottom"/>
    </xf>
    <xf numFmtId="0" fontId="0" fillId="3" borderId="19" applyNumberFormat="0" applyFont="1" applyFill="1" applyBorder="1" applyAlignment="1" applyProtection="0">
      <alignment vertical="bottom"/>
    </xf>
    <xf numFmtId="0" fontId="0" fillId="3" borderId="20" applyNumberFormat="0" applyFont="1" applyFill="1" applyBorder="1" applyAlignment="1" applyProtection="0">
      <alignment vertical="bottom"/>
    </xf>
    <xf numFmtId="49" fontId="4" fillId="4" borderId="21" applyNumberFormat="1" applyFont="1" applyFill="1" applyBorder="1" applyAlignment="1" applyProtection="0">
      <alignment horizontal="center" vertical="center"/>
    </xf>
    <xf numFmtId="49" fontId="4" fillId="5" borderId="22" applyNumberFormat="1" applyFont="1" applyFill="1" applyBorder="1" applyAlignment="1" applyProtection="0">
      <alignment horizontal="center" vertical="bottom"/>
    </xf>
    <xf numFmtId="0" fontId="4" fillId="5" borderId="23" applyNumberFormat="0" applyFont="1" applyFill="1" applyBorder="1" applyAlignment="1" applyProtection="0">
      <alignment horizontal="center" vertical="bottom"/>
    </xf>
    <xf numFmtId="0" fontId="4" fillId="5" borderId="20" applyNumberFormat="0" applyFont="1" applyFill="1" applyBorder="1" applyAlignment="1" applyProtection="0">
      <alignment horizontal="center" vertical="bottom"/>
    </xf>
    <xf numFmtId="49" fontId="4" fillId="6" borderId="22" applyNumberFormat="1" applyFont="1" applyFill="1" applyBorder="1" applyAlignment="1" applyProtection="0">
      <alignment horizontal="center" vertical="center"/>
    </xf>
    <xf numFmtId="0" fontId="4" fillId="6" borderId="23" applyNumberFormat="0" applyFont="1" applyFill="1" applyBorder="1" applyAlignment="1" applyProtection="0">
      <alignment horizontal="center" vertical="center"/>
    </xf>
    <xf numFmtId="0" fontId="4" fillId="6" borderId="24" applyNumberFormat="0" applyFont="1" applyFill="1" applyBorder="1" applyAlignment="1" applyProtection="0">
      <alignment horizontal="center" vertical="center"/>
    </xf>
    <xf numFmtId="49" fontId="0" fillId="3" borderId="25" applyNumberFormat="1" applyFont="1" applyFill="1" applyBorder="1" applyAlignment="1" applyProtection="0">
      <alignment horizontal="center" vertical="center"/>
    </xf>
    <xf numFmtId="49" fontId="0" fillId="3" borderId="26" applyNumberFormat="1" applyFont="1" applyFill="1" applyBorder="1" applyAlignment="1" applyProtection="0">
      <alignment vertical="bottom"/>
    </xf>
    <xf numFmtId="0" fontId="4" fillId="4" borderId="27" applyNumberFormat="0" applyFont="1" applyFill="1" applyBorder="1" applyAlignment="1" applyProtection="0">
      <alignment horizontal="center" vertical="center"/>
    </xf>
    <xf numFmtId="49" fontId="0" fillId="5" borderId="28" applyNumberFormat="1" applyFont="1" applyFill="1" applyBorder="1" applyAlignment="1" applyProtection="0">
      <alignment horizontal="center" vertical="center"/>
    </xf>
    <xf numFmtId="49" fontId="0" fillId="5" borderId="29" applyNumberFormat="1" applyFont="1" applyFill="1" applyBorder="1" applyAlignment="1" applyProtection="0">
      <alignment horizontal="center" vertical="center"/>
    </xf>
    <xf numFmtId="49" fontId="0" fillId="5" borderId="26" applyNumberFormat="1" applyFont="1" applyFill="1" applyBorder="1" applyAlignment="1" applyProtection="0">
      <alignment horizontal="center" vertical="center"/>
    </xf>
    <xf numFmtId="49" fontId="0" fillId="6" borderId="28" applyNumberFormat="1" applyFont="1" applyFill="1" applyBorder="1" applyAlignment="1" applyProtection="0">
      <alignment horizontal="center" vertical="center"/>
    </xf>
    <xf numFmtId="49" fontId="0" fillId="6" borderId="29" applyNumberFormat="1" applyFont="1" applyFill="1" applyBorder="1" applyAlignment="1" applyProtection="0">
      <alignment horizontal="center" vertical="center"/>
    </xf>
    <xf numFmtId="49" fontId="0" fillId="6" borderId="26" applyNumberFormat="1" applyFont="1" applyFill="1" applyBorder="1" applyAlignment="1" applyProtection="0">
      <alignment horizontal="center" vertical="center"/>
    </xf>
    <xf numFmtId="49" fontId="0" fillId="6" borderId="30" applyNumberFormat="1" applyFont="1" applyFill="1" applyBorder="1" applyAlignment="1" applyProtection="0">
      <alignment horizontal="center" vertical="center"/>
    </xf>
    <xf numFmtId="0" fontId="0" borderId="31" applyNumberFormat="0" applyFont="1" applyFill="0" applyBorder="1" applyAlignment="1" applyProtection="0">
      <alignment horizontal="center" vertical="bottom"/>
    </xf>
    <xf numFmtId="0" fontId="0" borderId="32" applyNumberFormat="0" applyFont="1" applyFill="0" applyBorder="1" applyAlignment="1" applyProtection="0">
      <alignment vertical="bottom"/>
    </xf>
    <xf numFmtId="49" fontId="0" borderId="32" applyNumberFormat="1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0" fontId="0" borderId="31" applyNumberFormat="0" applyFont="1" applyFill="0" applyBorder="1" applyAlignment="1" applyProtection="0">
      <alignment vertical="bottom"/>
    </xf>
    <xf numFmtId="0" fontId="0" borderId="33" applyNumberFormat="0" applyFont="1" applyFill="0" applyBorder="1" applyAlignment="1" applyProtection="0">
      <alignment vertical="bottom"/>
    </xf>
    <xf numFmtId="0" fontId="0" borderId="34" applyNumberFormat="0" applyFont="1" applyFill="0" applyBorder="1" applyAlignment="1" applyProtection="0">
      <alignment vertical="bottom"/>
    </xf>
    <xf numFmtId="0" fontId="0" borderId="35" applyNumberFormat="0" applyFont="1" applyFill="0" applyBorder="1" applyAlignment="1" applyProtection="0">
      <alignment vertical="bottom"/>
    </xf>
    <xf numFmtId="49" fontId="0" borderId="35" applyNumberFormat="1" applyFont="1" applyFill="0" applyBorder="1" applyAlignment="1" applyProtection="0">
      <alignment vertical="bottom"/>
    </xf>
    <xf numFmtId="0" fontId="0" borderId="14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e8e8e8"/>
      <rgbColor rgb="ffff0000"/>
      <rgbColor rgb="fffae2d5"/>
      <rgbColor rgb="ffdbedd5"/>
      <rgbColor rgb="ffe6e9eb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2</xdr:col>
      <xdr:colOff>231478</xdr:colOff>
      <xdr:row>0</xdr:row>
      <xdr:rowOff>0</xdr:rowOff>
    </xdr:from>
    <xdr:to>
      <xdr:col>3</xdr:col>
      <xdr:colOff>2070395</xdr:colOff>
      <xdr:row>5</xdr:row>
      <xdr:rowOff>125476</xdr:rowOff>
    </xdr:to>
    <xdr:sp>
      <xdr:nvSpPr>
        <xdr:cNvPr id="2" name="Rectangle 1"/>
        <xdr:cNvSpPr txBox="1"/>
      </xdr:nvSpPr>
      <xdr:spPr>
        <a:xfrm>
          <a:off x="3076278" y="-83058"/>
          <a:ext cx="4772618" cy="2149856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none" lIns="45719" tIns="45719" rIns="45719" bIns="45719" numCol="1" anchor="t">
          <a:spAutoFit/>
        </a:bodyPr>
        <a:lstStyle/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4000" u="none">
              <a:ln w="13461" cap="flat">
                <a:solidFill>
                  <a:srgbClr val="FFFFFF"/>
                </a:solidFill>
                <a:prstDash val="solid"/>
                <a:round/>
              </a:ln>
              <a:solidFill>
                <a:srgbClr val="262626"/>
              </a:solidFill>
              <a:effectLst>
                <a:outerShdw sx="100000" sy="100000" kx="0" ky="0" algn="b" rotWithShape="0" blurRad="0" dist="38100" dir="2700000">
                  <a:schemeClr val="accent5"/>
                </a:outerShdw>
              </a:effectLst>
              <a:uFillTx/>
              <a:latin typeface="Aptos Narrow"/>
              <a:ea typeface="Aptos Narrow"/>
              <a:cs typeface="Aptos Narrow"/>
              <a:sym typeface="Aptos Narrow"/>
            </a:defRPr>
          </a:pPr>
          <a:r>
            <a:rPr b="1" baseline="0" cap="none" i="0" spc="0" strike="noStrike" sz="4000" u="none">
              <a:ln w="13461" cap="flat">
                <a:solidFill>
                  <a:srgbClr val="FFFFFF"/>
                </a:solidFill>
                <a:prstDash val="solid"/>
                <a:round/>
              </a:ln>
              <a:solidFill>
                <a:srgbClr val="262626"/>
              </a:solidFill>
              <a:effectLst>
                <a:outerShdw sx="100000" sy="100000" kx="0" ky="0" algn="b" rotWithShape="0" blurRad="0" dist="38100" dir="2700000">
                  <a:schemeClr val="accent5"/>
                </a:outerShdw>
              </a:effectLst>
              <a:uFillTx/>
              <a:latin typeface="Aptos Narrow"/>
              <a:ea typeface="Aptos Narrow"/>
              <a:cs typeface="Aptos Narrow"/>
              <a:sym typeface="Aptos Narrow"/>
            </a:rPr>
            <a:t>Forecaster Cup Registration Form</a:t>
          </a:r>
          <a:endParaRPr b="1" baseline="0" cap="none" i="0" spc="0" strike="noStrike" sz="4000" u="none">
            <a:ln w="13461" cap="flat">
              <a:solidFill>
                <a:srgbClr val="FFFFFF"/>
              </a:solidFill>
              <a:prstDash val="solid"/>
              <a:round/>
            </a:ln>
            <a:solidFill>
              <a:srgbClr val="262626"/>
            </a:solidFill>
            <a:effectLst>
              <a:outerShdw sx="100000" sy="100000" kx="0" ky="0" algn="b" rotWithShape="0" blurRad="0" dist="38100" dir="2700000">
                <a:schemeClr val="accent5"/>
              </a:outerShdw>
            </a:effectLst>
            <a:uFillTx/>
            <a:latin typeface="Aptos Narrow"/>
            <a:ea typeface="Aptos Narrow"/>
            <a:cs typeface="Aptos Narrow"/>
            <a:sym typeface="Aptos Narrow"/>
          </a:endParaRPr>
        </a:p>
        <a:p>
          <a:pPr marL="0" marR="0" indent="0" algn="ctr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800" u="none">
              <a:ln w="13461" cap="flat">
                <a:solidFill>
                  <a:srgbClr val="FFFFFF"/>
                </a:solidFill>
                <a:prstDash val="solid"/>
                <a:round/>
              </a:ln>
              <a:solidFill>
                <a:srgbClr val="262626"/>
              </a:solidFill>
              <a:effectLst>
                <a:outerShdw sx="100000" sy="100000" kx="0" ky="0" algn="b" rotWithShape="0" blurRad="0" dist="38100" dir="2700000">
                  <a:schemeClr val="accent5"/>
                </a:outerShdw>
              </a:effectLst>
              <a:uFillTx/>
              <a:latin typeface="Aptos"/>
              <a:ea typeface="Aptos"/>
              <a:cs typeface="Aptos"/>
              <a:sym typeface="Aptos"/>
            </a:defRPr>
          </a:pPr>
          <a:r>
            <a:rPr b="1" baseline="0" cap="none" i="0" spc="0" strike="noStrike" sz="1800" u="none">
              <a:ln w="13461" cap="flat">
                <a:solidFill>
                  <a:srgbClr val="FFFFFF"/>
                </a:solidFill>
                <a:prstDash val="solid"/>
                <a:round/>
              </a:ln>
              <a:solidFill>
                <a:srgbClr val="262626"/>
              </a:solidFill>
              <a:effectLst>
                <a:outerShdw sx="100000" sy="100000" kx="0" ky="0" algn="b" rotWithShape="0" blurRad="0" dist="38100" dir="2700000">
                  <a:schemeClr val="accent5"/>
                </a:outerShdw>
              </a:effectLst>
              <a:uFillTx/>
              <a:latin typeface="Aptos"/>
              <a:ea typeface="Aptos"/>
              <a:cs typeface="Aptos"/>
              <a:sym typeface="Aptos"/>
            </a:rPr>
            <a:t>Email completed form to:  zvi@udel.edu &amp; university@costar.com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V18"/>
  <sheetViews>
    <sheetView workbookViewId="0" showGridLines="0" defaultGridColor="1"/>
  </sheetViews>
  <sheetFormatPr defaultColWidth="8.83333" defaultRowHeight="14.25" customHeight="1" outlineLevelRow="0" outlineLevelCol="0"/>
  <cols>
    <col min="1" max="1" width="2" style="1" customWidth="1"/>
    <col min="2" max="2" width="35.3516" style="1" customWidth="1"/>
    <col min="3" max="3" width="38.5" style="1" customWidth="1"/>
    <col min="4" max="4" width="36.5" style="1" customWidth="1"/>
    <col min="5" max="5" width="17.5" style="1" customWidth="1"/>
    <col min="6" max="6" width="40.5" style="1" customWidth="1"/>
    <col min="7" max="7" width="27.5" style="1" customWidth="1"/>
    <col min="8" max="8" width="16.3516" style="1" customWidth="1"/>
    <col min="9" max="9" width="24.5" style="1" customWidth="1"/>
    <col min="10" max="10" width="10.5" style="1" customWidth="1"/>
    <col min="11" max="11" width="10.3516" style="1" customWidth="1"/>
    <col min="12" max="12" width="25" style="1" customWidth="1"/>
    <col min="13" max="13" width="10.5" style="1" customWidth="1"/>
    <col min="14" max="14" width="10.3516" style="1" customWidth="1"/>
    <col min="15" max="15" width="25.1719" style="1" customWidth="1"/>
    <col min="16" max="16" width="10.5" style="1" customWidth="1"/>
    <col min="17" max="17" width="10.3516" style="1" customWidth="1"/>
    <col min="18" max="18" width="17.1719" style="1" customWidth="1"/>
    <col min="19" max="19" width="10.5" style="1" customWidth="1"/>
    <col min="20" max="20" width="10.3516" style="1" customWidth="1"/>
    <col min="21" max="21" width="30" style="1" customWidth="1"/>
    <col min="22" max="22" width="8.85156" style="1" customWidth="1"/>
    <col min="23" max="16384" width="8.85156" style="1" customWidth="1"/>
  </cols>
  <sheetData>
    <row r="1" ht="94.5" customHeight="1">
      <c r="A1" s="2"/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</row>
    <row r="2" ht="18" customHeight="1">
      <c r="A2" s="7"/>
      <c r="B2" t="s" s="8">
        <v>0</v>
      </c>
      <c r="C2" t="s" s="9">
        <v>1</v>
      </c>
      <c r="D2" t="str" s="10" cm="1">
        <f t="array" ref="D2">IF(ISBLANK($C$2),"&lt;==== Please enter your University's name here","")</f>
      </c>
      <c r="E2" s="11"/>
      <c r="F2" s="11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3"/>
    </row>
    <row r="3" ht="14.25" customHeight="1">
      <c r="A3" s="7"/>
      <c r="B3" t="s" s="14">
        <v>2</v>
      </c>
      <c r="C3" t="s" s="15">
        <v>3</v>
      </c>
      <c r="D3" s="16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3"/>
    </row>
    <row r="4" ht="14.25" customHeight="1">
      <c r="A4" s="7"/>
      <c r="B4" t="s" s="14">
        <v>4</v>
      </c>
      <c r="C4" t="s" s="15">
        <v>5</v>
      </c>
      <c r="D4" s="16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3"/>
    </row>
    <row r="5" ht="18.4" customHeight="1">
      <c r="A5" s="7"/>
      <c r="B5" t="s" s="17">
        <v>6</v>
      </c>
      <c r="C5" s="18">
        <v>6</v>
      </c>
      <c r="D5" t="str" s="19" cm="1">
        <f t="array" ref="D5">IF(ISBLANK($C$5),"&lt;==== Please enter the number of participating teams from your institution here","")</f>
      </c>
      <c r="E5" s="20"/>
      <c r="F5" s="20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3"/>
    </row>
    <row r="6" ht="18.4" customHeight="1">
      <c r="A6" s="21"/>
      <c r="B6" s="22"/>
      <c r="C6" s="22"/>
      <c r="D6" s="23"/>
      <c r="E6" s="23"/>
      <c r="F6" s="23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5"/>
    </row>
    <row r="7" ht="14.25" customHeight="1">
      <c r="A7" s="7"/>
      <c r="B7" s="26"/>
      <c r="C7" s="27"/>
      <c r="D7" t="s" s="28">
        <v>7</v>
      </c>
      <c r="E7" t="s" s="29">
        <v>8</v>
      </c>
      <c r="F7" s="30"/>
      <c r="G7" s="31"/>
      <c r="H7" t="s" s="32">
        <v>9</v>
      </c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4"/>
    </row>
    <row r="8" ht="14.25" customHeight="1">
      <c r="A8" s="7"/>
      <c r="B8" t="s" s="35">
        <v>10</v>
      </c>
      <c r="C8" t="s" s="36">
        <v>11</v>
      </c>
      <c r="D8" s="37"/>
      <c r="E8" t="s" s="38">
        <v>12</v>
      </c>
      <c r="F8" t="s" s="39">
        <v>13</v>
      </c>
      <c r="G8" t="s" s="40">
        <v>14</v>
      </c>
      <c r="H8" t="s" s="41">
        <v>12</v>
      </c>
      <c r="I8" t="s" s="42">
        <v>13</v>
      </c>
      <c r="J8" t="s" s="43">
        <v>14</v>
      </c>
      <c r="K8" t="s" s="41">
        <v>12</v>
      </c>
      <c r="L8" t="s" s="42">
        <v>13</v>
      </c>
      <c r="M8" t="s" s="43">
        <v>14</v>
      </c>
      <c r="N8" t="s" s="41">
        <v>12</v>
      </c>
      <c r="O8" t="s" s="42">
        <v>13</v>
      </c>
      <c r="P8" t="s" s="43">
        <v>14</v>
      </c>
      <c r="Q8" t="s" s="41">
        <v>12</v>
      </c>
      <c r="R8" t="s" s="42">
        <v>13</v>
      </c>
      <c r="S8" t="s" s="43">
        <v>14</v>
      </c>
      <c r="T8" t="s" s="41">
        <v>12</v>
      </c>
      <c r="U8" t="s" s="42">
        <v>13</v>
      </c>
      <c r="V8" t="s" s="44">
        <v>14</v>
      </c>
    </row>
    <row r="9" ht="14.25" customHeight="1">
      <c r="A9" s="7"/>
      <c r="B9" t="str" s="45" cm="1">
        <f t="array" ref="B9">IF(ISBLANK($C$2),"",IF(ROW()-8&gt;$C$5,"",$C$2))</f>
        <v>VinUniversity</v>
      </c>
      <c r="C9" t="str" s="46" cm="1">
        <f t="array" ref="C9">IF(ISBLANK($C$2),"",IF(ROW()-8&gt;$C$5,"",$C$2&amp;ROW()-8))</f>
        <v>VinUniversity1</v>
      </c>
      <c r="D9" s="46"/>
      <c r="E9" t="s" s="47">
        <v>16</v>
      </c>
      <c r="F9" t="s" s="47">
        <v>17</v>
      </c>
      <c r="G9" t="s" s="47">
        <v>18</v>
      </c>
      <c r="H9" t="s" s="47">
        <v>19</v>
      </c>
      <c r="I9" t="s" s="47">
        <v>20</v>
      </c>
      <c r="J9" t="s" s="47">
        <v>21</v>
      </c>
      <c r="K9" t="s" s="47">
        <v>22</v>
      </c>
      <c r="L9" t="s" s="47">
        <v>23</v>
      </c>
      <c r="M9" t="s" s="47">
        <v>24</v>
      </c>
      <c r="N9" t="s" s="47">
        <v>25</v>
      </c>
      <c r="O9" t="s" s="47">
        <v>26</v>
      </c>
      <c r="P9" t="s" s="47">
        <v>27</v>
      </c>
      <c r="Q9" s="46"/>
      <c r="R9" s="46"/>
      <c r="S9" s="46"/>
      <c r="T9" s="46"/>
      <c r="U9" s="46"/>
      <c r="V9" s="48"/>
    </row>
    <row r="10" ht="14.25" customHeight="1">
      <c r="A10" s="7"/>
      <c r="B10" t="str" s="45" cm="1">
        <f t="array" ref="B10">IF(ISBLANK($C$2),"",IF(ROW()-8&gt;$C$5,"",$C$2))</f>
        <v>VinUniversity</v>
      </c>
      <c r="C10" t="str" s="46" cm="1">
        <f t="array" ref="C10">IF(ISBLANK($C$2),"",IF(ROW()-8&gt;$C$5,"",$C$2&amp;ROW()-8))</f>
        <v>VinUniversity2</v>
      </c>
      <c r="D10" s="46"/>
      <c r="E10" t="s" s="47">
        <v>29</v>
      </c>
      <c r="F10" t="s" s="47">
        <v>17</v>
      </c>
      <c r="G10" t="s" s="47">
        <v>30</v>
      </c>
      <c r="H10" t="s" s="47">
        <v>31</v>
      </c>
      <c r="I10" t="s" s="47">
        <v>32</v>
      </c>
      <c r="J10" t="s" s="47">
        <v>33</v>
      </c>
      <c r="K10" t="s" s="47">
        <v>34</v>
      </c>
      <c r="L10" t="s" s="47">
        <v>35</v>
      </c>
      <c r="M10" t="s" s="47">
        <v>36</v>
      </c>
      <c r="N10" t="s" s="47">
        <v>37</v>
      </c>
      <c r="O10" t="s" s="47">
        <v>17</v>
      </c>
      <c r="P10" t="s" s="47">
        <v>38</v>
      </c>
      <c r="Q10" t="s" s="47">
        <v>39</v>
      </c>
      <c r="R10" t="s" s="47">
        <v>40</v>
      </c>
      <c r="S10" t="s" s="47">
        <v>41</v>
      </c>
      <c r="T10" s="46"/>
      <c r="U10" s="46"/>
      <c r="V10" s="48"/>
    </row>
    <row r="11" ht="14.25" customHeight="1">
      <c r="A11" s="7"/>
      <c r="B11" t="str" s="45" cm="1">
        <f t="array" ref="B11">IF(ISBLANK($C$2),"",IF(ROW()-8&gt;$C$5,"",$C$2))</f>
        <v>VinUniversity</v>
      </c>
      <c r="C11" t="str" s="46" cm="1">
        <f t="array" ref="C11">IF(ISBLANK($C$2),"",IF(ROW()-8&gt;$C$5,"",$C$2&amp;ROW()-8))</f>
        <v>VinUniversity3</v>
      </c>
      <c r="D11" s="46"/>
      <c r="E11" t="s" s="47">
        <v>43</v>
      </c>
      <c r="F11" t="s" s="47">
        <v>44</v>
      </c>
      <c r="G11" t="s" s="47">
        <v>45</v>
      </c>
      <c r="H11" t="s" s="47">
        <v>46</v>
      </c>
      <c r="I11" t="s" s="47">
        <v>32</v>
      </c>
      <c r="J11" t="s" s="47">
        <v>47</v>
      </c>
      <c r="K11" t="s" s="47">
        <v>48</v>
      </c>
      <c r="L11" s="46"/>
      <c r="M11" t="s" s="47">
        <v>49</v>
      </c>
      <c r="N11" t="s" s="47">
        <v>50</v>
      </c>
      <c r="O11" t="s" s="47">
        <v>17</v>
      </c>
      <c r="P11" t="s" s="47">
        <v>51</v>
      </c>
      <c r="Q11" s="46"/>
      <c r="R11" s="46"/>
      <c r="S11" s="46"/>
      <c r="T11" s="46"/>
      <c r="U11" s="46"/>
      <c r="V11" s="48"/>
    </row>
    <row r="12" ht="14.25" customHeight="1">
      <c r="A12" s="7"/>
      <c r="B12" t="str" s="45" cm="1">
        <f t="array" ref="B12">IF(ISBLANK($C$2),"",IF(ROW()-8&gt;$C$5,"",$C$2))</f>
        <v>VinUniversity</v>
      </c>
      <c r="C12" t="str" s="46" cm="1">
        <f t="array" ref="C12">IF(ISBLANK($C$2),"",IF(ROW()-8&gt;$C$5,"",$C$2&amp;ROW()-8))</f>
        <v>VinUniversity4</v>
      </c>
      <c r="D12" s="46"/>
      <c r="E12" t="s" s="47">
        <v>53</v>
      </c>
      <c r="F12" t="s" s="47">
        <v>20</v>
      </c>
      <c r="G12" t="s" s="47">
        <v>54</v>
      </c>
      <c r="H12" t="s" s="47">
        <v>55</v>
      </c>
      <c r="I12" t="s" s="47">
        <v>56</v>
      </c>
      <c r="J12" t="s" s="47">
        <v>57</v>
      </c>
      <c r="K12" t="s" s="47">
        <v>58</v>
      </c>
      <c r="L12" t="s" s="47">
        <v>59</v>
      </c>
      <c r="M12" t="s" s="47">
        <v>60</v>
      </c>
      <c r="N12" t="s" s="47">
        <v>39</v>
      </c>
      <c r="O12" t="s" s="47">
        <v>32</v>
      </c>
      <c r="P12" t="s" s="47">
        <v>61</v>
      </c>
      <c r="Q12" s="46"/>
      <c r="R12" s="46"/>
      <c r="S12" s="46"/>
      <c r="T12" s="46"/>
      <c r="U12" s="46"/>
      <c r="V12" s="48"/>
    </row>
    <row r="13" ht="14.25" customHeight="1">
      <c r="A13" s="7"/>
      <c r="B13" t="str" s="45" cm="1">
        <f t="array" ref="B13">IF(ISBLANK($C$2),"",IF(ROW()-8&gt;$C$5,"",$C$2))</f>
        <v>VinUniversity</v>
      </c>
      <c r="C13" t="str" s="46" cm="1">
        <f t="array" ref="C13">IF(ISBLANK($C$2),"",IF(ROW()-8&gt;$C$5,"",$C$2&amp;ROW()-8))</f>
        <v>VinUniversity5</v>
      </c>
      <c r="D13" s="46"/>
      <c r="E13" t="s" s="47">
        <v>63</v>
      </c>
      <c r="F13" t="s" s="47">
        <v>26</v>
      </c>
      <c r="G13" t="s" s="47">
        <v>64</v>
      </c>
      <c r="H13" t="s" s="47">
        <v>65</v>
      </c>
      <c r="I13" t="s" s="47">
        <v>32</v>
      </c>
      <c r="J13" t="s" s="47">
        <v>66</v>
      </c>
      <c r="K13" t="s" s="47">
        <v>67</v>
      </c>
      <c r="L13" t="s" s="47">
        <v>68</v>
      </c>
      <c r="M13" t="s" s="47">
        <v>69</v>
      </c>
      <c r="N13" t="s" s="47">
        <v>70</v>
      </c>
      <c r="O13" t="s" s="47">
        <v>32</v>
      </c>
      <c r="P13" t="s" s="47">
        <v>71</v>
      </c>
      <c r="Q13" s="46"/>
      <c r="R13" s="46"/>
      <c r="S13" s="46"/>
      <c r="T13" s="46"/>
      <c r="U13" s="46"/>
      <c r="V13" s="48"/>
    </row>
    <row r="14" ht="14.25" customHeight="1">
      <c r="A14" s="7"/>
      <c r="B14" t="str" s="45" cm="1">
        <f t="array" ref="B14">IF(ISBLANK($C$2),"",IF(ROW()-8&gt;$C$5,"",$C$2))</f>
        <v>VinUniversity</v>
      </c>
      <c r="C14" t="str" s="46" cm="1">
        <f t="array" ref="C14">IF(ISBLANK($C$2),"",IF(ROW()-8&gt;$C$5,"",$C$2&amp;ROW()-8))</f>
        <v>VinUniversity6</v>
      </c>
      <c r="D14" s="46"/>
      <c r="E14" t="s" s="47">
        <v>73</v>
      </c>
      <c r="F14" t="s" s="47">
        <v>74</v>
      </c>
      <c r="G14" t="s" s="47">
        <v>75</v>
      </c>
      <c r="H14" t="s" s="47">
        <v>76</v>
      </c>
      <c r="I14" t="s" s="47">
        <v>32</v>
      </c>
      <c r="J14" t="s" s="47">
        <v>77</v>
      </c>
      <c r="K14" t="s" s="47">
        <v>78</v>
      </c>
      <c r="L14" t="s" s="47">
        <v>20</v>
      </c>
      <c r="M14" t="s" s="47">
        <v>79</v>
      </c>
      <c r="N14" t="s" s="47">
        <v>25</v>
      </c>
      <c r="O14" t="s" s="47">
        <v>17</v>
      </c>
      <c r="P14" t="s" s="47">
        <v>80</v>
      </c>
      <c r="Q14" s="46"/>
      <c r="R14" s="46"/>
      <c r="S14" s="46"/>
      <c r="T14" s="46"/>
      <c r="U14" s="46"/>
      <c r="V14" s="48"/>
    </row>
    <row r="15" ht="14.25" customHeight="1">
      <c r="A15" s="7"/>
      <c r="B15" t="str" s="49" cm="1">
        <f t="array" ref="B15">IF(ISBLANK($C$2),"",IF(ROW()-8&gt;$C$5,"",$C$2))</f>
      </c>
      <c r="C15" t="str" s="46" cm="1">
        <f t="array" ref="C15">IF(ISBLANK($C$2),"",IF(ROW()-8&gt;$C$5,"",$C$2&amp;ROW()-8))</f>
      </c>
      <c r="D15" s="46"/>
      <c r="E15" s="46"/>
      <c r="F15" s="46"/>
      <c r="G15" s="47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8"/>
    </row>
    <row r="16" ht="14.25" customHeight="1">
      <c r="A16" s="7"/>
      <c r="B16" t="str" s="49" cm="1">
        <f t="array" ref="B16">IF(ISBLANK($C$2),"",IF(ROW()-8&gt;$C$5,"",$C$2))</f>
      </c>
      <c r="C16" t="str" s="46" cm="1">
        <f t="array" ref="C16">IF(ISBLANK($C$2),"",IF(ROW()-8&gt;$C$5,"",$C$2&amp;ROW()-8))</f>
      </c>
      <c r="D16" s="46"/>
      <c r="E16" s="46"/>
      <c r="F16" s="46"/>
      <c r="G16" s="47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8"/>
    </row>
    <row r="17" ht="14.25" customHeight="1">
      <c r="A17" s="7"/>
      <c r="B17" t="str" s="49" cm="1">
        <f t="array" ref="B17">IF(ISBLANK($C$2),"",IF(ROW()-8&gt;$C$5,"",$C$2))</f>
      </c>
      <c r="C17" t="str" s="46" cm="1">
        <f t="array" ref="C17">IF(ISBLANK($C$2),"",IF(ROW()-8&gt;$C$5,"",$C$2&amp;ROW()-8))</f>
      </c>
      <c r="D17" s="46"/>
      <c r="E17" s="46"/>
      <c r="F17" s="46"/>
      <c r="G17" s="47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8"/>
    </row>
    <row r="18" ht="14.65" customHeight="1">
      <c r="A18" s="50"/>
      <c r="B18" t="str" s="51" cm="1">
        <f t="array" ref="B18">IF(ISBLANK($C$2),"",IF(ROW()-8&gt;$C$5,"",$C$2))</f>
      </c>
      <c r="C18" t="str" s="52" cm="1">
        <f t="array" ref="C18">IF(ISBLANK($C$2),"",IF(ROW()-8&gt;$C$5,"",$C$2&amp;ROW()-8))</f>
      </c>
      <c r="D18" s="52"/>
      <c r="E18" s="52"/>
      <c r="F18" s="52"/>
      <c r="G18" s="53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4"/>
    </row>
  </sheetData>
  <mergeCells count="5">
    <mergeCell ref="D2:F2"/>
    <mergeCell ref="H7:V7"/>
    <mergeCell ref="E7:G7"/>
    <mergeCell ref="D7:D8"/>
    <mergeCell ref="D5:F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